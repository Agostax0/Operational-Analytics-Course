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80BB\EXCELCNV\3a06c3c8-059c-4b8f-9369-2330d44b185b\"/>
    </mc:Choice>
  </mc:AlternateContent>
  <xr:revisionPtr revIDLastSave="0" documentId="8_{401BC43D-955B-4838-BA91-F803415AAC97}" xr6:coauthVersionLast="47" xr6:coauthVersionMax="47" xr10:uidLastSave="{00000000-0000-0000-0000-000000000000}"/>
  <bookViews>
    <workbookView xWindow="-60" yWindow="-60" windowWidth="15480" windowHeight="11640" xr2:uid="{0376B5EB-2FCC-4F4F-9A80-41654A9770E2}"/>
  </bookViews>
  <sheets>
    <sheet name="Foglio Grafico" sheetId="1" r:id="rId1"/>
    <sheet name="Foglio ACF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N21" i="1"/>
  <c r="N23" i="1"/>
  <c r="N24" i="1"/>
  <c r="N25" i="1"/>
  <c r="N22" i="1"/>
  <c r="G23" i="1"/>
  <c r="G24" i="1"/>
  <c r="G25" i="1"/>
  <c r="C33" i="2"/>
  <c r="D33" i="2"/>
  <c r="E33" i="2"/>
  <c r="F33" i="2"/>
  <c r="G33" i="2"/>
  <c r="H33" i="2"/>
  <c r="I33" i="2"/>
  <c r="J33" i="2"/>
  <c r="B33" i="2"/>
  <c r="A31" i="1"/>
  <c r="B31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" i="1"/>
  <c r="F2" i="1" l="1"/>
  <c r="E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E30" i="1" l="1"/>
  <c r="E31" i="1" l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H21" i="1" l="1"/>
  <c r="K21" i="1"/>
  <c r="L21" i="1" s="1"/>
  <c r="H20" i="1"/>
  <c r="K20" i="1"/>
  <c r="L20" i="1" s="1"/>
  <c r="H19" i="1"/>
  <c r="K19" i="1"/>
  <c r="L19" i="1" s="1"/>
  <c r="H18" i="1"/>
  <c r="K18" i="1"/>
  <c r="L18" i="1" s="1"/>
  <c r="H17" i="1"/>
  <c r="K17" i="1"/>
  <c r="L17" i="1" s="1"/>
  <c r="H16" i="1"/>
  <c r="K16" i="1"/>
  <c r="L16" i="1" s="1"/>
  <c r="H15" i="1"/>
  <c r="K15" i="1"/>
  <c r="L15" i="1" s="1"/>
  <c r="H14" i="1"/>
  <c r="K14" i="1"/>
  <c r="L14" i="1" s="1"/>
  <c r="H13" i="1"/>
  <c r="K13" i="1"/>
  <c r="L13" i="1" s="1"/>
  <c r="H12" i="1"/>
  <c r="K12" i="1"/>
  <c r="L12" i="1" s="1"/>
  <c r="H11" i="1"/>
  <c r="K11" i="1"/>
  <c r="L11" i="1" s="1"/>
  <c r="H10" i="1"/>
  <c r="K10" i="1"/>
  <c r="L10" i="1" s="1"/>
  <c r="H9" i="1"/>
  <c r="K9" i="1"/>
  <c r="L9" i="1" s="1"/>
  <c r="H8" i="1"/>
  <c r="K8" i="1"/>
  <c r="L8" i="1" s="1"/>
  <c r="H7" i="1"/>
  <c r="K7" i="1"/>
  <c r="L7" i="1" s="1"/>
  <c r="H6" i="1"/>
  <c r="K6" i="1"/>
  <c r="L6" i="1" s="1"/>
  <c r="H5" i="1"/>
  <c r="K5" i="1"/>
  <c r="L5" i="1" s="1"/>
  <c r="H4" i="1"/>
  <c r="K4" i="1"/>
  <c r="L4" i="1" s="1"/>
  <c r="H3" i="1"/>
  <c r="K3" i="1"/>
  <c r="L3" i="1" s="1"/>
  <c r="H2" i="1"/>
  <c r="I2" i="1" s="1"/>
  <c r="K2" i="1"/>
  <c r="L2" i="1" s="1"/>
  <c r="I5" i="1"/>
  <c r="I4" i="1"/>
  <c r="I3" i="1"/>
</calcChain>
</file>

<file path=xl/sharedStrings.xml><?xml version="1.0" encoding="utf-8"?>
<sst xmlns="http://schemas.openxmlformats.org/spreadsheetml/2006/main" count="34" uniqueCount="34">
  <si>
    <t>t</t>
  </si>
  <si>
    <t>sales</t>
  </si>
  <si>
    <t>scarti x</t>
  </si>
  <si>
    <t>scarti y</t>
  </si>
  <si>
    <t>scx * scy</t>
  </si>
  <si>
    <t>scx ^ 2</t>
  </si>
  <si>
    <t>trend</t>
  </si>
  <si>
    <t>elong</t>
  </si>
  <si>
    <t>sea coeff</t>
  </si>
  <si>
    <t>all seas coeff</t>
  </si>
  <si>
    <t>trend*seas</t>
  </si>
  <si>
    <t>componente casuale</t>
  </si>
  <si>
    <t>previsione 4 mesi</t>
  </si>
  <si>
    <t>valore moltiplicativo del seasonal che impatta il trend</t>
  </si>
  <si>
    <t>per vedere se il modello è fatto per bene</t>
  </si>
  <si>
    <t>fattore moltiplicativo del trend che distacca dal valore effettivo</t>
  </si>
  <si>
    <t>bisogna guardare se i residui sono distribuiti normalmente</t>
  </si>
  <si>
    <t>MEDIA X</t>
  </si>
  <si>
    <t>MEDIA Y</t>
  </si>
  <si>
    <t>m</t>
  </si>
  <si>
    <t>q</t>
  </si>
  <si>
    <t>media != 0</t>
  </si>
  <si>
    <t>non proprio normalmente distribuita</t>
  </si>
  <si>
    <t>lag 0</t>
  </si>
  <si>
    <t>lag 1</t>
  </si>
  <si>
    <t>lag 2</t>
  </si>
  <si>
    <t>lag 3</t>
  </si>
  <si>
    <t>lag 4</t>
  </si>
  <si>
    <t>lag 5</t>
  </si>
  <si>
    <t>lag 6</t>
  </si>
  <si>
    <t>lag 7</t>
  </si>
  <si>
    <t>lag 8</t>
  </si>
  <si>
    <t>grafico di autocorrelazione</t>
  </si>
  <si>
    <t>Pearson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</si>
</sst>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4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sales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'Foglio Grafico'!$B$2:$B$21</c:f>
              <c:numCache>
                <c:formatCode>General</c:formatCode>
                <c:ptCount val="20"/>
                <c:pt idx="0">
                  <c:v>128</c:v>
                </c:pt>
                <c:pt idx="1">
                  <c:v>181</c:v>
                </c:pt>
                <c:pt idx="2">
                  <c:v>87</c:v>
                </c:pt>
                <c:pt idx="3">
                  <c:v>219</c:v>
                </c:pt>
                <c:pt idx="4">
                  <c:v>407</c:v>
                </c:pt>
                <c:pt idx="5">
                  <c:v>226</c:v>
                </c:pt>
                <c:pt idx="6">
                  <c:v>214</c:v>
                </c:pt>
                <c:pt idx="7">
                  <c:v>383</c:v>
                </c:pt>
                <c:pt idx="8">
                  <c:v>505</c:v>
                </c:pt>
                <c:pt idx="9">
                  <c:v>387</c:v>
                </c:pt>
                <c:pt idx="10">
                  <c:v>278</c:v>
                </c:pt>
                <c:pt idx="11">
                  <c:v>523</c:v>
                </c:pt>
                <c:pt idx="12">
                  <c:v>572</c:v>
                </c:pt>
                <c:pt idx="13">
                  <c:v>354</c:v>
                </c:pt>
                <c:pt idx="14">
                  <c:v>404</c:v>
                </c:pt>
                <c:pt idx="15">
                  <c:v>673</c:v>
                </c:pt>
                <c:pt idx="16">
                  <c:v>752</c:v>
                </c:pt>
                <c:pt idx="17">
                  <c:v>468</c:v>
                </c:pt>
                <c:pt idx="18">
                  <c:v>419</c:v>
                </c:pt>
                <c:pt idx="19">
                  <c:v>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51A-4441-9DFB-11B2CD444F6B}"/>
            </c:ext>
          </c:extLst>
        </c:ser>
        <c:ser>
          <c:idx val="1"/>
          <c:order val="1"/>
          <c:tx>
            <c:v>trend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'Foglio Grafico'!$G$2:$G$21</c:f>
              <c:numCache>
                <c:formatCode>General</c:formatCode>
                <c:ptCount val="20"/>
                <c:pt idx="0">
                  <c:v>149.31428571428572</c:v>
                </c:pt>
                <c:pt idx="1">
                  <c:v>175.20225563909773</c:v>
                </c:pt>
                <c:pt idx="2">
                  <c:v>201.09022556390977</c:v>
                </c:pt>
                <c:pt idx="3">
                  <c:v>226.97819548872178</c:v>
                </c:pt>
                <c:pt idx="4">
                  <c:v>252.86616541353382</c:v>
                </c:pt>
                <c:pt idx="5">
                  <c:v>278.75413533834586</c:v>
                </c:pt>
                <c:pt idx="6">
                  <c:v>304.64210526315787</c:v>
                </c:pt>
                <c:pt idx="7">
                  <c:v>330.53007518796994</c:v>
                </c:pt>
                <c:pt idx="8">
                  <c:v>356.41804511278195</c:v>
                </c:pt>
                <c:pt idx="9">
                  <c:v>382.30601503759397</c:v>
                </c:pt>
                <c:pt idx="10">
                  <c:v>408.19398496240598</c:v>
                </c:pt>
                <c:pt idx="11">
                  <c:v>434.08195488721805</c:v>
                </c:pt>
                <c:pt idx="12">
                  <c:v>459.96992481203006</c:v>
                </c:pt>
                <c:pt idx="13">
                  <c:v>485.85789473684207</c:v>
                </c:pt>
                <c:pt idx="14">
                  <c:v>511.74586466165414</c:v>
                </c:pt>
                <c:pt idx="15">
                  <c:v>537.63383458646615</c:v>
                </c:pt>
                <c:pt idx="16">
                  <c:v>563.52180451127811</c:v>
                </c:pt>
                <c:pt idx="17">
                  <c:v>589.40977443609017</c:v>
                </c:pt>
                <c:pt idx="18">
                  <c:v>615.29774436090224</c:v>
                </c:pt>
                <c:pt idx="19">
                  <c:v>641.18571428571431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51A-4441-9DFB-11B2CD444F6B}"/>
            </c:ext>
          </c:extLst>
        </c:ser>
        <c:ser>
          <c:idx val="3"/>
          <c:order val="2"/>
          <c:tx>
            <c:strRef>
              <c:f>{"forecast"}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'Foglio Grafico'!N2:N25</c:f>
              <c:numCache>
                <c:formatCode>General</c:formatCode>
                <c:ptCount val="24"/>
                <c:pt idx="19">
                  <c:v>732.35408454824585</c:v>
                </c:pt>
                <c:pt idx="20">
                  <c:v>862.08589079703484</c:v>
                </c:pt>
                <c:pt idx="21">
                  <c:v>606.86018064417112</c:v>
                </c:pt>
                <c:pt idx="22">
                  <c:v>472.51128356442598</c:v>
                </c:pt>
                <c:pt idx="23">
                  <c:v>850.62971104886981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99-4914-B2E5-75AFB67CC113}"/>
            </c:ext>
          </c:extLst>
        </c:ser>
        <c:ser>
          <c:idx val="2"/>
          <c:order val="3"/>
          <c:tx>
            <c:v>predicted</c:v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'Foglio Grafico'!K2:K21</c:f>
              <c:numCache>
                <c:formatCode>General</c:formatCode>
                <c:ptCount val="20"/>
                <c:pt idx="0">
                  <c:v>192.96479842562456</c:v>
                </c:pt>
                <c:pt idx="1">
                  <c:v>153.43312558770202</c:v>
                </c:pt>
                <c:pt idx="2">
                  <c:v>132.17980146778555</c:v>
                </c:pt>
                <c:pt idx="3">
                  <c:v>259.25157854574991</c:v>
                </c:pt>
                <c:pt idx="4">
                  <c:v>326.78901689990658</c:v>
                </c:pt>
                <c:pt idx="5">
                  <c:v>244.11853659899586</c:v>
                </c:pt>
                <c:pt idx="6">
                  <c:v>200.24609788711365</c:v>
                </c:pt>
                <c:pt idx="7">
                  <c:v>377.52720504637392</c:v>
                </c:pt>
                <c:pt idx="8">
                  <c:v>460.6132353741886</c:v>
                </c:pt>
                <c:pt idx="9">
                  <c:v>334.8039476102897</c:v>
                </c:pt>
                <c:pt idx="10">
                  <c:v>268.31239430644172</c:v>
                </c:pt>
                <c:pt idx="11">
                  <c:v>495.80283154699788</c:v>
                </c:pt>
                <c:pt idx="12">
                  <c:v>594.43745384847068</c:v>
                </c:pt>
                <c:pt idx="13">
                  <c:v>425.48935862158351</c:v>
                </c:pt>
                <c:pt idx="14">
                  <c:v>336.37869072576984</c:v>
                </c:pt>
                <c:pt idx="15">
                  <c:v>614.07845804762189</c:v>
                </c:pt>
                <c:pt idx="16">
                  <c:v>728.26167232275259</c:v>
                </c:pt>
                <c:pt idx="17">
                  <c:v>516.17476963287731</c:v>
                </c:pt>
                <c:pt idx="18">
                  <c:v>404.44498714509797</c:v>
                </c:pt>
                <c:pt idx="19">
                  <c:v>732.35408454824585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A3-4E6D-AD32-2D891F6EC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7925127"/>
        <c:axId val="617927175"/>
      </c:lineChart>
      <c:catAx>
        <c:axId val="617925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927175"/>
        <c:crosses val="autoZero"/>
        <c:auto val="1"/>
        <c:lblAlgn val="ctr"/>
        <c:lblOffset val="100"/>
        <c:noMultiLvlLbl val="0"/>
      </c:catAx>
      <c:valAx>
        <c:axId val="617927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925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residui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'Foglio Grafico'!$L$2:$L$21</c:f>
              <c:numCache>
                <c:formatCode>General</c:formatCode>
                <c:ptCount val="20"/>
                <c:pt idx="0">
                  <c:v>-64.964798425624565</c:v>
                </c:pt>
                <c:pt idx="1">
                  <c:v>27.566874412297977</c:v>
                </c:pt>
                <c:pt idx="2">
                  <c:v>-45.179801467785552</c:v>
                </c:pt>
                <c:pt idx="3">
                  <c:v>-40.251578545749908</c:v>
                </c:pt>
                <c:pt idx="4">
                  <c:v>80.210983100093415</c:v>
                </c:pt>
                <c:pt idx="5">
                  <c:v>-18.11853659899586</c:v>
                </c:pt>
                <c:pt idx="6">
                  <c:v>13.753902112886351</c:v>
                </c:pt>
                <c:pt idx="7">
                  <c:v>5.472794953626078</c:v>
                </c:pt>
                <c:pt idx="8">
                  <c:v>44.386764625811395</c:v>
                </c:pt>
                <c:pt idx="9">
                  <c:v>52.196052389710303</c:v>
                </c:pt>
                <c:pt idx="10">
                  <c:v>9.6876056935582824</c:v>
                </c:pt>
                <c:pt idx="11">
                  <c:v>27.197168453002121</c:v>
                </c:pt>
                <c:pt idx="12">
                  <c:v>-22.437453848470682</c:v>
                </c:pt>
                <c:pt idx="13">
                  <c:v>-71.489358621583506</c:v>
                </c:pt>
                <c:pt idx="14">
                  <c:v>67.621309274230157</c:v>
                </c:pt>
                <c:pt idx="15">
                  <c:v>58.921541952378107</c:v>
                </c:pt>
                <c:pt idx="16">
                  <c:v>23.738327677247412</c:v>
                </c:pt>
                <c:pt idx="17">
                  <c:v>-48.174769632877315</c:v>
                </c:pt>
                <c:pt idx="18">
                  <c:v>14.555012854902031</c:v>
                </c:pt>
                <c:pt idx="19">
                  <c:v>-7.3540845482458508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AE-45FE-ACC4-58926AB97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5243399"/>
        <c:axId val="603975176"/>
      </c:barChart>
      <c:catAx>
        <c:axId val="20452433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975176"/>
        <c:crosses val="autoZero"/>
        <c:auto val="1"/>
        <c:lblAlgn val="ctr"/>
        <c:lblOffset val="100"/>
        <c:noMultiLvlLbl val="0"/>
      </c:catAx>
      <c:valAx>
        <c:axId val="603975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243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'Foglio ACF'!$B$33:$J$33</c:f>
              <c:numCache>
                <c:formatCode>General</c:formatCode>
                <c:ptCount val="9"/>
                <c:pt idx="0">
                  <c:v>1</c:v>
                </c:pt>
                <c:pt idx="1">
                  <c:v>0.12638862267970932</c:v>
                </c:pt>
                <c:pt idx="2">
                  <c:v>-0.37980050171212765</c:v>
                </c:pt>
                <c:pt idx="3">
                  <c:v>0.36969302285426153</c:v>
                </c:pt>
                <c:pt idx="4">
                  <c:v>0.90696520631162014</c:v>
                </c:pt>
                <c:pt idx="5">
                  <c:v>0.13925681555197644</c:v>
                </c:pt>
                <c:pt idx="6">
                  <c:v>-0.27148263578507531</c:v>
                </c:pt>
                <c:pt idx="7">
                  <c:v>0.56044556419520686</c:v>
                </c:pt>
                <c:pt idx="8">
                  <c:v>0.84243843575044519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A8-444D-9235-15B939B1B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4376967"/>
        <c:axId val="1494379527"/>
      </c:barChart>
      <c:catAx>
        <c:axId val="14943769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379527"/>
        <c:crosses val="autoZero"/>
        <c:auto val="1"/>
        <c:lblAlgn val="ctr"/>
        <c:lblOffset val="100"/>
        <c:noMultiLvlLbl val="0"/>
      </c:catAx>
      <c:valAx>
        <c:axId val="1494379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376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1219200</xdr:colOff>
      <xdr:row>0</xdr:row>
      <xdr:rowOff>0</xdr:rowOff>
    </xdr:from>
    <xdr:to>
      <xdr:col>25</xdr:col>
      <xdr:colOff>409575</xdr:colOff>
      <xdr:row>24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03669C-02E3-0326-330A-F84FE5729F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1981200</xdr:colOff>
      <xdr:row>29</xdr:row>
      <xdr:rowOff>180975</xdr:rowOff>
    </xdr:from>
    <xdr:to>
      <xdr:col>15</xdr:col>
      <xdr:colOff>552450</xdr:colOff>
      <xdr:row>44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467360-683D-FBCA-43DF-3C91237C390C}"/>
            </a:ext>
            <a:ext uri="{147F2762-F138-4A5C-976F-8EAC2B608ADB}">
              <a16:predDERef xmlns:a16="http://schemas.microsoft.com/office/drawing/2014/main" pred="{EF03669C-02E3-0326-330A-F84FE5729F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600075</xdr:colOff>
      <xdr:row>25</xdr:row>
      <xdr:rowOff>19050</xdr:rowOff>
    </xdr:from>
    <xdr:to>
      <xdr:col>18</xdr:col>
      <xdr:colOff>295275</xdr:colOff>
      <xdr:row>39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0752C4-3A47-9E49-BE50-5073EBF538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05C85-1D76-4CF1-BD23-1398014AD2BF}">
  <dimension ref="A1:N47"/>
  <sheetViews>
    <sheetView tabSelected="1" topLeftCell="F1" workbookViewId="0">
      <selection activeCell="M21" sqref="M21"/>
    </sheetView>
  </sheetViews>
  <sheetFormatPr defaultRowHeight="15"/>
  <cols>
    <col min="10" max="10" width="15.85546875" customWidth="1"/>
    <col min="11" max="11" width="12.7109375" customWidth="1"/>
    <col min="12" max="12" width="22.42578125" customWidth="1"/>
    <col min="13" max="15" width="30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s="10" t="s">
        <v>12</v>
      </c>
    </row>
    <row r="2" spans="1:14">
      <c r="A2">
        <v>1</v>
      </c>
      <c r="B2">
        <v>128</v>
      </c>
      <c r="C2">
        <f>A2-$A$31</f>
        <v>-9.5</v>
      </c>
      <c r="D2">
        <f>B2-$B$31</f>
        <v>-267.25</v>
      </c>
      <c r="E2">
        <f>C2*D2</f>
        <v>2538.875</v>
      </c>
      <c r="F2">
        <f>C2*C2</f>
        <v>90.25</v>
      </c>
      <c r="G2">
        <f>$E$30*A2+$E$31</f>
        <v>149.31428571428572</v>
      </c>
      <c r="H2">
        <f>B2/G2</f>
        <v>0.85725220053578266</v>
      </c>
      <c r="I2">
        <f>AVERAGE(H2,H6,H10,H14,H18)</f>
        <v>1.2923398287211749</v>
      </c>
      <c r="J2">
        <v>1.2923398287211749</v>
      </c>
      <c r="K2">
        <f>G2*J2</f>
        <v>192.96479842562456</v>
      </c>
      <c r="L2">
        <f>B2-K2</f>
        <v>-64.964798425624565</v>
      </c>
    </row>
    <row r="3" spans="1:14">
      <c r="A3">
        <v>2</v>
      </c>
      <c r="B3">
        <v>181</v>
      </c>
      <c r="C3">
        <f t="shared" ref="C3:C21" si="0">A3-$A$31</f>
        <v>-8.5</v>
      </c>
      <c r="D3">
        <f t="shared" ref="D3:D21" si="1">B3-$B$31</f>
        <v>-214.25</v>
      </c>
      <c r="E3">
        <f t="shared" ref="E3:E21" si="2">C3*D3</f>
        <v>1821.125</v>
      </c>
      <c r="F3">
        <f t="shared" ref="F3:F21" si="3">C3*C3</f>
        <v>72.25</v>
      </c>
      <c r="G3">
        <f t="shared" ref="G3:G25" si="4">$E$30*A3+$E$31</f>
        <v>175.20225563909773</v>
      </c>
      <c r="H3">
        <f t="shared" ref="H3:H21" si="5">B3/G3</f>
        <v>1.0330917221342466</v>
      </c>
      <c r="I3">
        <f t="shared" ref="I3:J5" si="6">AVERAGE(H3,H7,H11,H15,H19)</f>
        <v>0.87574857428640462</v>
      </c>
      <c r="J3">
        <v>0.87574857428640462</v>
      </c>
      <c r="K3">
        <f t="shared" ref="K3:K22" si="7">G3*J3</f>
        <v>153.43312558770202</v>
      </c>
      <c r="L3">
        <f t="shared" ref="L3:L21" si="8">B3-K3</f>
        <v>27.566874412297977</v>
      </c>
    </row>
    <row r="4" spans="1:14">
      <c r="A4">
        <v>3</v>
      </c>
      <c r="B4">
        <v>87</v>
      </c>
      <c r="C4">
        <f t="shared" si="0"/>
        <v>-7.5</v>
      </c>
      <c r="D4">
        <f t="shared" si="1"/>
        <v>-308.25</v>
      </c>
      <c r="E4">
        <f t="shared" si="2"/>
        <v>2311.875</v>
      </c>
      <c r="F4">
        <f t="shared" si="3"/>
        <v>56.25</v>
      </c>
      <c r="G4">
        <f t="shared" si="4"/>
        <v>201.09022556390977</v>
      </c>
      <c r="H4">
        <f t="shared" si="5"/>
        <v>0.43264161525518791</v>
      </c>
      <c r="I4">
        <f t="shared" si="6"/>
        <v>0.65731589438083682</v>
      </c>
      <c r="J4">
        <v>0.65731589438083682</v>
      </c>
      <c r="K4">
        <f t="shared" si="7"/>
        <v>132.17980146778555</v>
      </c>
      <c r="L4">
        <f t="shared" si="8"/>
        <v>-45.179801467785552</v>
      </c>
    </row>
    <row r="5" spans="1:14">
      <c r="A5">
        <v>4</v>
      </c>
      <c r="B5">
        <v>219</v>
      </c>
      <c r="C5">
        <f t="shared" si="0"/>
        <v>-6.5</v>
      </c>
      <c r="D5">
        <f t="shared" si="1"/>
        <v>-176.25</v>
      </c>
      <c r="E5">
        <f t="shared" si="2"/>
        <v>1145.625</v>
      </c>
      <c r="F5">
        <f t="shared" si="3"/>
        <v>42.25</v>
      </c>
      <c r="G5">
        <f t="shared" si="4"/>
        <v>226.97819548872178</v>
      </c>
      <c r="H5">
        <f t="shared" si="5"/>
        <v>0.96485038806682111</v>
      </c>
      <c r="I5">
        <f t="shared" si="6"/>
        <v>1.142187151446588</v>
      </c>
      <c r="J5">
        <v>1.142187151446588</v>
      </c>
      <c r="K5">
        <f t="shared" si="7"/>
        <v>259.25157854574991</v>
      </c>
      <c r="L5">
        <f t="shared" si="8"/>
        <v>-40.251578545749908</v>
      </c>
    </row>
    <row r="6" spans="1:14">
      <c r="A6">
        <v>5</v>
      </c>
      <c r="B6">
        <v>407</v>
      </c>
      <c r="C6">
        <f t="shared" si="0"/>
        <v>-5.5</v>
      </c>
      <c r="D6">
        <f t="shared" si="1"/>
        <v>11.75</v>
      </c>
      <c r="E6">
        <f t="shared" si="2"/>
        <v>-64.625</v>
      </c>
      <c r="F6">
        <f t="shared" si="3"/>
        <v>30.25</v>
      </c>
      <c r="G6">
        <f t="shared" si="4"/>
        <v>252.86616541353382</v>
      </c>
      <c r="H6">
        <f t="shared" si="5"/>
        <v>1.609547087228526</v>
      </c>
      <c r="J6">
        <v>1.2923398287211749</v>
      </c>
      <c r="K6">
        <f t="shared" si="7"/>
        <v>326.78901689990658</v>
      </c>
      <c r="L6">
        <f t="shared" si="8"/>
        <v>80.210983100093415</v>
      </c>
    </row>
    <row r="7" spans="1:14">
      <c r="A7">
        <v>6</v>
      </c>
      <c r="B7">
        <v>226</v>
      </c>
      <c r="C7">
        <f t="shared" si="0"/>
        <v>-4.5</v>
      </c>
      <c r="D7">
        <f t="shared" si="1"/>
        <v>-169.25</v>
      </c>
      <c r="E7">
        <f t="shared" si="2"/>
        <v>761.625</v>
      </c>
      <c r="F7">
        <f t="shared" si="3"/>
        <v>20.25</v>
      </c>
      <c r="G7">
        <f t="shared" si="4"/>
        <v>278.75413533834586</v>
      </c>
      <c r="H7">
        <f t="shared" si="5"/>
        <v>0.81075030411902582</v>
      </c>
      <c r="J7">
        <v>0.87574857428640462</v>
      </c>
      <c r="K7">
        <f t="shared" si="7"/>
        <v>244.11853659899586</v>
      </c>
      <c r="L7">
        <f t="shared" si="8"/>
        <v>-18.11853659899586</v>
      </c>
    </row>
    <row r="8" spans="1:14">
      <c r="A8">
        <v>7</v>
      </c>
      <c r="B8">
        <v>214</v>
      </c>
      <c r="C8">
        <f t="shared" si="0"/>
        <v>-3.5</v>
      </c>
      <c r="D8">
        <f t="shared" si="1"/>
        <v>-181.25</v>
      </c>
      <c r="E8">
        <f t="shared" si="2"/>
        <v>634.375</v>
      </c>
      <c r="F8">
        <f t="shared" si="3"/>
        <v>12.25</v>
      </c>
      <c r="G8">
        <f t="shared" si="4"/>
        <v>304.64210526315787</v>
      </c>
      <c r="H8">
        <f t="shared" si="5"/>
        <v>0.7024636329083308</v>
      </c>
      <c r="J8">
        <v>0.65731589438083682</v>
      </c>
      <c r="K8">
        <f t="shared" si="7"/>
        <v>200.24609788711365</v>
      </c>
      <c r="L8">
        <f t="shared" si="8"/>
        <v>13.753902112886351</v>
      </c>
    </row>
    <row r="9" spans="1:14">
      <c r="A9">
        <v>8</v>
      </c>
      <c r="B9">
        <v>383</v>
      </c>
      <c r="C9">
        <f t="shared" si="0"/>
        <v>-2.5</v>
      </c>
      <c r="D9">
        <f t="shared" si="1"/>
        <v>-12.25</v>
      </c>
      <c r="E9">
        <f t="shared" si="2"/>
        <v>30.625</v>
      </c>
      <c r="F9">
        <f t="shared" si="3"/>
        <v>6.25</v>
      </c>
      <c r="G9">
        <f t="shared" si="4"/>
        <v>330.53007518796994</v>
      </c>
      <c r="H9">
        <f t="shared" si="5"/>
        <v>1.1587447822476995</v>
      </c>
      <c r="J9">
        <v>1.142187151446588</v>
      </c>
      <c r="K9">
        <f t="shared" si="7"/>
        <v>377.52720504637392</v>
      </c>
      <c r="L9">
        <f t="shared" si="8"/>
        <v>5.472794953626078</v>
      </c>
    </row>
    <row r="10" spans="1:14">
      <c r="A10">
        <v>9</v>
      </c>
      <c r="B10">
        <v>505</v>
      </c>
      <c r="C10">
        <f t="shared" si="0"/>
        <v>-1.5</v>
      </c>
      <c r="D10">
        <f t="shared" si="1"/>
        <v>109.75</v>
      </c>
      <c r="E10">
        <f t="shared" si="2"/>
        <v>-164.625</v>
      </c>
      <c r="F10">
        <f t="shared" si="3"/>
        <v>2.25</v>
      </c>
      <c r="G10">
        <f t="shared" si="4"/>
        <v>356.41804511278195</v>
      </c>
      <c r="H10">
        <f t="shared" si="5"/>
        <v>1.4168755115645226</v>
      </c>
      <c r="J10">
        <v>1.2923398287211749</v>
      </c>
      <c r="K10">
        <f t="shared" si="7"/>
        <v>460.6132353741886</v>
      </c>
      <c r="L10">
        <f t="shared" si="8"/>
        <v>44.386764625811395</v>
      </c>
    </row>
    <row r="11" spans="1:14">
      <c r="A11">
        <v>10</v>
      </c>
      <c r="B11">
        <v>387</v>
      </c>
      <c r="C11">
        <f t="shared" si="0"/>
        <v>-0.5</v>
      </c>
      <c r="D11">
        <f t="shared" si="1"/>
        <v>-8.25</v>
      </c>
      <c r="E11">
        <f t="shared" si="2"/>
        <v>4.125</v>
      </c>
      <c r="F11">
        <f t="shared" si="3"/>
        <v>0.25</v>
      </c>
      <c r="G11">
        <f t="shared" si="4"/>
        <v>382.30601503759397</v>
      </c>
      <c r="H11">
        <f t="shared" si="5"/>
        <v>1.0122780829434359</v>
      </c>
      <c r="J11">
        <v>0.87574857428640462</v>
      </c>
      <c r="K11">
        <f t="shared" si="7"/>
        <v>334.8039476102897</v>
      </c>
      <c r="L11">
        <f t="shared" si="8"/>
        <v>52.196052389710303</v>
      </c>
    </row>
    <row r="12" spans="1:14">
      <c r="A12">
        <v>11</v>
      </c>
      <c r="B12">
        <v>278</v>
      </c>
      <c r="C12">
        <f t="shared" si="0"/>
        <v>0.5</v>
      </c>
      <c r="D12">
        <f t="shared" si="1"/>
        <v>-117.25</v>
      </c>
      <c r="E12">
        <f t="shared" si="2"/>
        <v>-58.625</v>
      </c>
      <c r="F12">
        <f t="shared" si="3"/>
        <v>0.25</v>
      </c>
      <c r="G12">
        <f t="shared" si="4"/>
        <v>408.19398496240598</v>
      </c>
      <c r="H12">
        <f t="shared" si="5"/>
        <v>0.68104874212098776</v>
      </c>
      <c r="J12">
        <v>0.65731589438083682</v>
      </c>
      <c r="K12">
        <f t="shared" si="7"/>
        <v>268.31239430644172</v>
      </c>
      <c r="L12">
        <f t="shared" si="8"/>
        <v>9.6876056935582824</v>
      </c>
    </row>
    <row r="13" spans="1:14">
      <c r="A13">
        <v>12</v>
      </c>
      <c r="B13">
        <v>523</v>
      </c>
      <c r="C13">
        <f t="shared" si="0"/>
        <v>1.5</v>
      </c>
      <c r="D13">
        <f t="shared" si="1"/>
        <v>127.75</v>
      </c>
      <c r="E13">
        <f t="shared" si="2"/>
        <v>191.625</v>
      </c>
      <c r="F13">
        <f t="shared" si="3"/>
        <v>2.25</v>
      </c>
      <c r="G13">
        <f t="shared" si="4"/>
        <v>434.08195488721805</v>
      </c>
      <c r="H13">
        <f t="shared" si="5"/>
        <v>1.2048416067788037</v>
      </c>
      <c r="J13">
        <v>1.142187151446588</v>
      </c>
      <c r="K13">
        <f t="shared" si="7"/>
        <v>495.80283154699788</v>
      </c>
      <c r="L13">
        <f t="shared" si="8"/>
        <v>27.197168453002121</v>
      </c>
    </row>
    <row r="14" spans="1:14">
      <c r="A14">
        <v>13</v>
      </c>
      <c r="B14">
        <v>572</v>
      </c>
      <c r="C14">
        <f t="shared" si="0"/>
        <v>2.5</v>
      </c>
      <c r="D14">
        <f t="shared" si="1"/>
        <v>176.75</v>
      </c>
      <c r="E14">
        <f t="shared" si="2"/>
        <v>441.875</v>
      </c>
      <c r="F14">
        <f t="shared" si="3"/>
        <v>6.25</v>
      </c>
      <c r="G14">
        <f t="shared" si="4"/>
        <v>459.96992481203006</v>
      </c>
      <c r="H14">
        <f t="shared" si="5"/>
        <v>1.2435595658428142</v>
      </c>
      <c r="J14">
        <v>1.2923398287211749</v>
      </c>
      <c r="K14">
        <f t="shared" si="7"/>
        <v>594.43745384847068</v>
      </c>
      <c r="L14">
        <f t="shared" si="8"/>
        <v>-22.437453848470682</v>
      </c>
    </row>
    <row r="15" spans="1:14">
      <c r="A15">
        <v>14</v>
      </c>
      <c r="B15">
        <v>354</v>
      </c>
      <c r="C15">
        <f t="shared" si="0"/>
        <v>3.5</v>
      </c>
      <c r="D15">
        <f t="shared" si="1"/>
        <v>-41.25</v>
      </c>
      <c r="E15">
        <f t="shared" si="2"/>
        <v>-144.375</v>
      </c>
      <c r="F15">
        <f t="shared" si="3"/>
        <v>12.25</v>
      </c>
      <c r="G15">
        <f t="shared" si="4"/>
        <v>485.85789473684207</v>
      </c>
      <c r="H15">
        <f t="shared" si="5"/>
        <v>0.72860810503396056</v>
      </c>
      <c r="J15">
        <v>0.87574857428640462</v>
      </c>
      <c r="K15">
        <f t="shared" si="7"/>
        <v>425.48935862158351</v>
      </c>
      <c r="L15">
        <f t="shared" si="8"/>
        <v>-71.489358621583506</v>
      </c>
    </row>
    <row r="16" spans="1:14">
      <c r="A16">
        <v>15</v>
      </c>
      <c r="B16">
        <v>404</v>
      </c>
      <c r="C16">
        <f t="shared" si="0"/>
        <v>4.5</v>
      </c>
      <c r="D16">
        <f t="shared" si="1"/>
        <v>8.75</v>
      </c>
      <c r="E16">
        <f t="shared" si="2"/>
        <v>39.375</v>
      </c>
      <c r="F16">
        <f t="shared" si="3"/>
        <v>20.25</v>
      </c>
      <c r="G16">
        <f t="shared" si="4"/>
        <v>511.74586466165414</v>
      </c>
      <c r="H16">
        <f t="shared" si="5"/>
        <v>0.78945435204856729</v>
      </c>
      <c r="J16">
        <v>0.65731589438083682</v>
      </c>
      <c r="K16">
        <f t="shared" si="7"/>
        <v>336.37869072576984</v>
      </c>
      <c r="L16">
        <f t="shared" si="8"/>
        <v>67.621309274230157</v>
      </c>
    </row>
    <row r="17" spans="1:14">
      <c r="A17">
        <v>16</v>
      </c>
      <c r="B17">
        <v>673</v>
      </c>
      <c r="C17">
        <f t="shared" si="0"/>
        <v>5.5</v>
      </c>
      <c r="D17">
        <f t="shared" si="1"/>
        <v>277.75</v>
      </c>
      <c r="E17">
        <f t="shared" si="2"/>
        <v>1527.625</v>
      </c>
      <c r="F17">
        <f t="shared" si="3"/>
        <v>30.25</v>
      </c>
      <c r="G17">
        <f t="shared" si="4"/>
        <v>537.63383458646615</v>
      </c>
      <c r="H17">
        <f t="shared" si="5"/>
        <v>1.2517813364883443</v>
      </c>
      <c r="J17">
        <v>1.142187151446588</v>
      </c>
      <c r="K17">
        <f t="shared" si="7"/>
        <v>614.07845804762189</v>
      </c>
      <c r="L17">
        <f t="shared" si="8"/>
        <v>58.921541952378107</v>
      </c>
    </row>
    <row r="18" spans="1:14">
      <c r="A18">
        <v>17</v>
      </c>
      <c r="B18">
        <v>752</v>
      </c>
      <c r="C18">
        <f t="shared" si="0"/>
        <v>6.5</v>
      </c>
      <c r="D18">
        <f t="shared" si="1"/>
        <v>356.75</v>
      </c>
      <c r="E18">
        <f t="shared" si="2"/>
        <v>2318.875</v>
      </c>
      <c r="F18">
        <f t="shared" si="3"/>
        <v>42.25</v>
      </c>
      <c r="G18">
        <f t="shared" si="4"/>
        <v>563.52180451127811</v>
      </c>
      <c r="H18">
        <f t="shared" si="5"/>
        <v>1.3344647784342296</v>
      </c>
      <c r="J18">
        <v>1.2923398287211749</v>
      </c>
      <c r="K18">
        <f t="shared" si="7"/>
        <v>728.26167232275259</v>
      </c>
      <c r="L18">
        <f t="shared" si="8"/>
        <v>23.738327677247412</v>
      </c>
    </row>
    <row r="19" spans="1:14">
      <c r="A19">
        <v>18</v>
      </c>
      <c r="B19">
        <v>468</v>
      </c>
      <c r="C19">
        <f t="shared" si="0"/>
        <v>7.5</v>
      </c>
      <c r="D19">
        <f t="shared" si="1"/>
        <v>72.75</v>
      </c>
      <c r="E19">
        <f t="shared" si="2"/>
        <v>545.625</v>
      </c>
      <c r="F19">
        <f t="shared" si="3"/>
        <v>56.25</v>
      </c>
      <c r="G19">
        <f t="shared" si="4"/>
        <v>589.40977443609017</v>
      </c>
      <c r="H19">
        <f t="shared" si="5"/>
        <v>0.79401465720135478</v>
      </c>
      <c r="J19">
        <v>0.87574857428640462</v>
      </c>
      <c r="K19">
        <f t="shared" si="7"/>
        <v>516.17476963287731</v>
      </c>
      <c r="L19">
        <f t="shared" si="8"/>
        <v>-48.174769632877315</v>
      </c>
    </row>
    <row r="20" spans="1:14">
      <c r="A20">
        <v>19</v>
      </c>
      <c r="B20">
        <v>419</v>
      </c>
      <c r="C20">
        <f t="shared" si="0"/>
        <v>8.5</v>
      </c>
      <c r="D20">
        <f t="shared" si="1"/>
        <v>23.75</v>
      </c>
      <c r="E20">
        <f t="shared" si="2"/>
        <v>201.875</v>
      </c>
      <c r="F20">
        <f t="shared" si="3"/>
        <v>72.25</v>
      </c>
      <c r="G20">
        <f t="shared" si="4"/>
        <v>615.29774436090224</v>
      </c>
      <c r="H20">
        <f t="shared" si="5"/>
        <v>0.6809711295711105</v>
      </c>
      <c r="J20">
        <v>0.65731589438083682</v>
      </c>
      <c r="K20">
        <f t="shared" si="7"/>
        <v>404.44498714509797</v>
      </c>
      <c r="L20">
        <f t="shared" si="8"/>
        <v>14.555012854902031</v>
      </c>
    </row>
    <row r="21" spans="1:14">
      <c r="A21">
        <v>20</v>
      </c>
      <c r="B21">
        <v>725</v>
      </c>
      <c r="C21">
        <f t="shared" si="0"/>
        <v>9.5</v>
      </c>
      <c r="D21">
        <f t="shared" si="1"/>
        <v>329.75</v>
      </c>
      <c r="E21">
        <f t="shared" si="2"/>
        <v>3132.625</v>
      </c>
      <c r="F21">
        <f t="shared" si="3"/>
        <v>90.25</v>
      </c>
      <c r="G21">
        <f t="shared" si="4"/>
        <v>641.18571428571431</v>
      </c>
      <c r="H21">
        <f t="shared" si="5"/>
        <v>1.1307176436512711</v>
      </c>
      <c r="J21">
        <v>1.142187151446588</v>
      </c>
      <c r="K21">
        <f t="shared" si="7"/>
        <v>732.35408454824585</v>
      </c>
      <c r="L21">
        <f t="shared" si="8"/>
        <v>-7.3540845482458508</v>
      </c>
      <c r="N21" s="9">
        <f t="shared" ref="N21:N25" si="9">G21*J21</f>
        <v>732.35408454824585</v>
      </c>
    </row>
    <row r="22" spans="1:14">
      <c r="A22" s="9">
        <v>21</v>
      </c>
      <c r="G22" s="9">
        <f t="shared" si="4"/>
        <v>667.07368421052638</v>
      </c>
      <c r="J22" s="9">
        <v>1.2923398287211749</v>
      </c>
      <c r="N22" s="9">
        <f>G22*J22</f>
        <v>862.08589079703484</v>
      </c>
    </row>
    <row r="23" spans="1:14">
      <c r="A23" s="9">
        <v>22</v>
      </c>
      <c r="G23" s="9">
        <f t="shared" si="4"/>
        <v>692.96165413533822</v>
      </c>
      <c r="J23" s="9">
        <v>0.87574857428640462</v>
      </c>
      <c r="N23" s="9">
        <f t="shared" si="9"/>
        <v>606.86018064417112</v>
      </c>
    </row>
    <row r="24" spans="1:14">
      <c r="A24" s="9">
        <v>23</v>
      </c>
      <c r="G24" s="9">
        <f t="shared" si="4"/>
        <v>718.84962406015029</v>
      </c>
      <c r="J24" s="9">
        <v>0.65731589438083682</v>
      </c>
      <c r="N24" s="9">
        <f t="shared" si="9"/>
        <v>472.51128356442598</v>
      </c>
    </row>
    <row r="25" spans="1:14">
      <c r="A25" s="9">
        <v>24</v>
      </c>
      <c r="G25" s="9">
        <f t="shared" si="4"/>
        <v>744.73759398496236</v>
      </c>
      <c r="J25" s="9">
        <v>1.142187151446588</v>
      </c>
      <c r="N25" s="9">
        <f t="shared" si="9"/>
        <v>850.62971104886981</v>
      </c>
    </row>
    <row r="28" spans="1:14">
      <c r="I28" t="s">
        <v>13</v>
      </c>
      <c r="N28" t="s">
        <v>14</v>
      </c>
    </row>
    <row r="29" spans="1:14">
      <c r="H29" t="s">
        <v>15</v>
      </c>
      <c r="N29" t="s">
        <v>16</v>
      </c>
    </row>
    <row r="30" spans="1:14">
      <c r="A30" t="s">
        <v>17</v>
      </c>
      <c r="B30" t="s">
        <v>18</v>
      </c>
      <c r="D30" t="s">
        <v>19</v>
      </c>
      <c r="E30">
        <f>SUM(E2:E21)/SUM(F2:F21)</f>
        <v>25.88796992481203</v>
      </c>
    </row>
    <row r="31" spans="1:14">
      <c r="A31">
        <f>AVERAGE(A2:A21)</f>
        <v>10.5</v>
      </c>
      <c r="B31">
        <f>AVERAGE(B2:B21)</f>
        <v>395.25</v>
      </c>
      <c r="D31" t="s">
        <v>20</v>
      </c>
      <c r="E31">
        <f>B31-E30*A31</f>
        <v>123.42631578947368</v>
      </c>
    </row>
    <row r="46" spans="14:14">
      <c r="N46" t="s">
        <v>21</v>
      </c>
    </row>
    <row r="47" spans="14:14">
      <c r="N47" t="s">
        <v>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120F6-6E1E-406A-94FE-688F40D9CC8A}">
  <dimension ref="A1:M33"/>
  <sheetViews>
    <sheetView topLeftCell="A9" workbookViewId="0">
      <selection activeCell="Q21" sqref="Q21"/>
    </sheetView>
  </sheetViews>
  <sheetFormatPr defaultRowHeight="15"/>
  <sheetData>
    <row r="1" spans="2:10"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</row>
    <row r="2" spans="2:10">
      <c r="B2">
        <v>128</v>
      </c>
    </row>
    <row r="3" spans="2:10">
      <c r="B3">
        <v>181</v>
      </c>
      <c r="C3">
        <v>128</v>
      </c>
    </row>
    <row r="4" spans="2:10">
      <c r="B4">
        <v>87</v>
      </c>
      <c r="C4">
        <v>181</v>
      </c>
      <c r="D4">
        <v>128</v>
      </c>
    </row>
    <row r="5" spans="2:10">
      <c r="B5">
        <v>219</v>
      </c>
      <c r="C5">
        <v>87</v>
      </c>
      <c r="D5">
        <v>181</v>
      </c>
      <c r="E5">
        <v>128</v>
      </c>
    </row>
    <row r="6" spans="2:10">
      <c r="B6">
        <v>407</v>
      </c>
      <c r="C6">
        <v>219</v>
      </c>
      <c r="D6">
        <v>87</v>
      </c>
      <c r="E6">
        <v>181</v>
      </c>
      <c r="F6">
        <v>128</v>
      </c>
    </row>
    <row r="7" spans="2:10">
      <c r="B7">
        <v>226</v>
      </c>
      <c r="C7">
        <v>407</v>
      </c>
      <c r="D7">
        <v>219</v>
      </c>
      <c r="E7">
        <v>87</v>
      </c>
      <c r="F7">
        <v>181</v>
      </c>
      <c r="G7">
        <v>128</v>
      </c>
    </row>
    <row r="8" spans="2:10">
      <c r="B8">
        <v>214</v>
      </c>
      <c r="C8">
        <v>226</v>
      </c>
      <c r="D8">
        <v>407</v>
      </c>
      <c r="E8">
        <v>219</v>
      </c>
      <c r="F8">
        <v>87</v>
      </c>
      <c r="G8">
        <v>181</v>
      </c>
      <c r="H8">
        <v>128</v>
      </c>
    </row>
    <row r="9" spans="2:10">
      <c r="B9">
        <v>383</v>
      </c>
      <c r="C9">
        <v>214</v>
      </c>
      <c r="D9">
        <v>226</v>
      </c>
      <c r="E9">
        <v>407</v>
      </c>
      <c r="F9">
        <v>219</v>
      </c>
      <c r="G9">
        <v>87</v>
      </c>
      <c r="H9">
        <v>181</v>
      </c>
      <c r="I9">
        <v>128</v>
      </c>
    </row>
    <row r="10" spans="2:10">
      <c r="B10" s="1">
        <v>505</v>
      </c>
      <c r="C10" s="2">
        <v>383</v>
      </c>
      <c r="D10" s="2">
        <v>214</v>
      </c>
      <c r="E10" s="2">
        <v>226</v>
      </c>
      <c r="F10" s="2">
        <v>407</v>
      </c>
      <c r="G10" s="2">
        <v>219</v>
      </c>
      <c r="H10" s="2">
        <v>87</v>
      </c>
      <c r="I10" s="2">
        <v>181</v>
      </c>
      <c r="J10" s="3">
        <v>128</v>
      </c>
    </row>
    <row r="11" spans="2:10">
      <c r="B11" s="4">
        <v>387</v>
      </c>
      <c r="C11">
        <v>505</v>
      </c>
      <c r="D11">
        <v>383</v>
      </c>
      <c r="E11">
        <v>214</v>
      </c>
      <c r="F11">
        <v>226</v>
      </c>
      <c r="G11">
        <v>407</v>
      </c>
      <c r="H11">
        <v>219</v>
      </c>
      <c r="I11">
        <v>87</v>
      </c>
      <c r="J11" s="5">
        <v>181</v>
      </c>
    </row>
    <row r="12" spans="2:10">
      <c r="B12" s="4">
        <v>278</v>
      </c>
      <c r="C12">
        <v>387</v>
      </c>
      <c r="D12">
        <v>505</v>
      </c>
      <c r="E12">
        <v>383</v>
      </c>
      <c r="F12">
        <v>214</v>
      </c>
      <c r="G12">
        <v>226</v>
      </c>
      <c r="H12">
        <v>407</v>
      </c>
      <c r="I12">
        <v>219</v>
      </c>
      <c r="J12" s="5">
        <v>87</v>
      </c>
    </row>
    <row r="13" spans="2:10">
      <c r="B13" s="4">
        <v>523</v>
      </c>
      <c r="C13">
        <v>278</v>
      </c>
      <c r="D13">
        <v>387</v>
      </c>
      <c r="E13">
        <v>505</v>
      </c>
      <c r="F13">
        <v>383</v>
      </c>
      <c r="G13">
        <v>214</v>
      </c>
      <c r="H13">
        <v>226</v>
      </c>
      <c r="I13">
        <v>407</v>
      </c>
      <c r="J13" s="5">
        <v>219</v>
      </c>
    </row>
    <row r="14" spans="2:10">
      <c r="B14" s="4">
        <v>572</v>
      </c>
      <c r="C14">
        <v>523</v>
      </c>
      <c r="D14">
        <v>278</v>
      </c>
      <c r="E14">
        <v>387</v>
      </c>
      <c r="F14">
        <v>505</v>
      </c>
      <c r="G14">
        <v>383</v>
      </c>
      <c r="H14">
        <v>214</v>
      </c>
      <c r="I14">
        <v>226</v>
      </c>
      <c r="J14" s="5">
        <v>407</v>
      </c>
    </row>
    <row r="15" spans="2:10">
      <c r="B15" s="4">
        <v>354</v>
      </c>
      <c r="C15">
        <v>572</v>
      </c>
      <c r="D15">
        <v>523</v>
      </c>
      <c r="E15">
        <v>278</v>
      </c>
      <c r="F15">
        <v>387</v>
      </c>
      <c r="G15">
        <v>505</v>
      </c>
      <c r="H15">
        <v>383</v>
      </c>
      <c r="I15">
        <v>214</v>
      </c>
      <c r="J15" s="5">
        <v>226</v>
      </c>
    </row>
    <row r="16" spans="2:10">
      <c r="B16" s="4">
        <v>404</v>
      </c>
      <c r="C16">
        <v>354</v>
      </c>
      <c r="D16">
        <v>572</v>
      </c>
      <c r="E16">
        <v>523</v>
      </c>
      <c r="F16">
        <v>278</v>
      </c>
      <c r="G16">
        <v>387</v>
      </c>
      <c r="H16">
        <v>505</v>
      </c>
      <c r="I16">
        <v>383</v>
      </c>
      <c r="J16" s="5">
        <v>214</v>
      </c>
    </row>
    <row r="17" spans="2:13">
      <c r="B17" s="4">
        <v>673</v>
      </c>
      <c r="C17">
        <v>404</v>
      </c>
      <c r="D17">
        <v>354</v>
      </c>
      <c r="E17">
        <v>572</v>
      </c>
      <c r="F17">
        <v>523</v>
      </c>
      <c r="G17">
        <v>278</v>
      </c>
      <c r="H17">
        <v>387</v>
      </c>
      <c r="I17">
        <v>505</v>
      </c>
      <c r="J17" s="5">
        <v>383</v>
      </c>
    </row>
    <row r="18" spans="2:13">
      <c r="B18" s="4">
        <v>752</v>
      </c>
      <c r="C18">
        <v>673</v>
      </c>
      <c r="D18">
        <v>404</v>
      </c>
      <c r="E18">
        <v>354</v>
      </c>
      <c r="F18">
        <v>572</v>
      </c>
      <c r="G18">
        <v>523</v>
      </c>
      <c r="H18">
        <v>278</v>
      </c>
      <c r="I18">
        <v>387</v>
      </c>
      <c r="J18" s="5">
        <v>505</v>
      </c>
    </row>
    <row r="19" spans="2:13">
      <c r="B19" s="4">
        <v>468</v>
      </c>
      <c r="C19">
        <v>752</v>
      </c>
      <c r="D19">
        <v>673</v>
      </c>
      <c r="E19">
        <v>404</v>
      </c>
      <c r="F19">
        <v>354</v>
      </c>
      <c r="G19">
        <v>572</v>
      </c>
      <c r="H19">
        <v>523</v>
      </c>
      <c r="I19">
        <v>278</v>
      </c>
      <c r="J19" s="5">
        <v>387</v>
      </c>
    </row>
    <row r="20" spans="2:13">
      <c r="B20" s="4">
        <v>419</v>
      </c>
      <c r="C20">
        <v>468</v>
      </c>
      <c r="D20">
        <v>752</v>
      </c>
      <c r="E20">
        <v>673</v>
      </c>
      <c r="F20">
        <v>404</v>
      </c>
      <c r="G20">
        <v>354</v>
      </c>
      <c r="H20">
        <v>572</v>
      </c>
      <c r="I20">
        <v>523</v>
      </c>
      <c r="J20" s="5">
        <v>278</v>
      </c>
    </row>
    <row r="21" spans="2:13">
      <c r="B21" s="6">
        <v>725</v>
      </c>
      <c r="C21" s="7">
        <v>419</v>
      </c>
      <c r="D21" s="7">
        <v>468</v>
      </c>
      <c r="E21" s="7">
        <v>752</v>
      </c>
      <c r="F21" s="7">
        <v>673</v>
      </c>
      <c r="G21" s="7">
        <v>404</v>
      </c>
      <c r="H21" s="7">
        <v>354</v>
      </c>
      <c r="I21" s="7">
        <v>572</v>
      </c>
      <c r="J21" s="8">
        <v>523</v>
      </c>
    </row>
    <row r="22" spans="2:13">
      <c r="C22">
        <v>725</v>
      </c>
      <c r="D22">
        <v>419</v>
      </c>
      <c r="E22">
        <v>468</v>
      </c>
      <c r="F22">
        <v>752</v>
      </c>
      <c r="G22">
        <v>673</v>
      </c>
      <c r="H22">
        <v>404</v>
      </c>
      <c r="I22">
        <v>354</v>
      </c>
      <c r="J22">
        <v>572</v>
      </c>
    </row>
    <row r="23" spans="2:13">
      <c r="D23">
        <v>725</v>
      </c>
      <c r="E23">
        <v>419</v>
      </c>
      <c r="F23">
        <v>468</v>
      </c>
      <c r="G23">
        <v>752</v>
      </c>
      <c r="H23">
        <v>673</v>
      </c>
      <c r="I23">
        <v>404</v>
      </c>
      <c r="J23">
        <v>354</v>
      </c>
    </row>
    <row r="24" spans="2:13">
      <c r="E24">
        <v>725</v>
      </c>
      <c r="F24">
        <v>419</v>
      </c>
      <c r="G24">
        <v>468</v>
      </c>
      <c r="H24">
        <v>752</v>
      </c>
      <c r="I24">
        <v>673</v>
      </c>
      <c r="J24">
        <v>404</v>
      </c>
      <c r="M24" t="s">
        <v>32</v>
      </c>
    </row>
    <row r="25" spans="2:13">
      <c r="F25">
        <v>725</v>
      </c>
      <c r="G25">
        <v>419</v>
      </c>
      <c r="H25">
        <v>468</v>
      </c>
      <c r="I25">
        <v>752</v>
      </c>
      <c r="J25">
        <v>673</v>
      </c>
    </row>
    <row r="26" spans="2:13">
      <c r="G26">
        <v>725</v>
      </c>
      <c r="H26">
        <v>419</v>
      </c>
      <c r="I26">
        <v>468</v>
      </c>
      <c r="J26">
        <v>752</v>
      </c>
    </row>
    <row r="27" spans="2:13">
      <c r="H27">
        <v>725</v>
      </c>
      <c r="I27">
        <v>419</v>
      </c>
      <c r="J27">
        <v>468</v>
      </c>
    </row>
    <row r="28" spans="2:13">
      <c r="I28">
        <v>725</v>
      </c>
      <c r="J28">
        <v>419</v>
      </c>
    </row>
    <row r="29" spans="2:13">
      <c r="J29">
        <v>725</v>
      </c>
    </row>
    <row r="33" spans="1:10">
      <c r="A33" t="s">
        <v>33</v>
      </c>
      <c r="B33">
        <f>PEARSON($B$10:$B$21,B10:B21)</f>
        <v>1</v>
      </c>
      <c r="C33">
        <f t="shared" ref="C33:J33" si="0">PEARSON($B$10:$B$21,C10:C21)</f>
        <v>0.12638862267970932</v>
      </c>
      <c r="D33">
        <f t="shared" si="0"/>
        <v>-0.37980050171212765</v>
      </c>
      <c r="E33">
        <f t="shared" si="0"/>
        <v>0.36969302285426153</v>
      </c>
      <c r="F33">
        <f t="shared" si="0"/>
        <v>0.90696520631162014</v>
      </c>
      <c r="G33">
        <f t="shared" si="0"/>
        <v>0.13925681555197644</v>
      </c>
      <c r="H33">
        <f t="shared" si="0"/>
        <v>-0.27148263578507531</v>
      </c>
      <c r="I33">
        <f t="shared" si="0"/>
        <v>0.56044556419520686</v>
      </c>
      <c r="J33">
        <f t="shared" si="0"/>
        <v>0.84243843575044519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2026-02-26T13:48:09Z</dcterms:created>
  <dcterms:modified xsi:type="dcterms:W3CDTF">2026-03-09T18:23:00Z</dcterms:modified>
  <cp:category/>
  <cp:contentStatus/>
</cp:coreProperties>
</file>